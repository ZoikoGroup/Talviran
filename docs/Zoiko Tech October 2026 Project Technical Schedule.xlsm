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sheets>
    <sheet xmlns:r="http://schemas.openxmlformats.org/officeDocument/2006/relationships" name="October Schedule" sheetId="1" state="visible" r:id="rId1"/>
    <sheet xmlns:r="http://schemas.openxmlformats.org/officeDocument/2006/relationships" name="Project Tracker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2">
    <font>
      <name val="Arial"/>
      <color rgb="FF000000"/>
      <sz val="11"/>
      <scheme val="minor"/>
    </font>
    <font>
      <name val="Carlito"/>
      <b val="1"/>
      <color rgb="FFFFFFFF"/>
      <sz val="18"/>
    </font>
    <font>
      <name val="Carlito"/>
      <b val="1"/>
      <color rgb="FFFFFFFF"/>
      <sz val="10"/>
    </font>
    <font>
      <name val="Carlito"/>
      <b val="1"/>
      <color rgb="FF15808A"/>
      <sz val="20"/>
    </font>
    <font>
      <name val="Carlito"/>
      <b val="1"/>
      <color rgb="FF0B2341"/>
      <sz val="11"/>
    </font>
    <font>
      <name val="Carlito"/>
      <color rgb="FF52677A"/>
      <sz val="9"/>
    </font>
    <font>
      <name val="Carlito"/>
      <b val="1"/>
      <color rgb="FFFFFFFF"/>
      <sz val="12"/>
    </font>
    <font>
      <name val="Carlito"/>
      <color rgb="FF102A43"/>
      <sz val="9"/>
    </font>
    <font>
      <name val="Carlito"/>
      <b val="1"/>
      <color rgb="FFFFFFFF"/>
      <sz val="11"/>
    </font>
    <font>
      <name val="Carlito"/>
      <color rgb="FF102A43"/>
      <sz val="11"/>
    </font>
    <font>
      <name val="Carlito"/>
      <b val="1"/>
      <color rgb="FF15808A"/>
      <sz val="11"/>
    </font>
    <font>
      <name val="Carlito"/>
      <i val="1"/>
      <color rgb="FF52677A"/>
      <sz val="9"/>
    </font>
  </fonts>
  <fills count="7">
    <fill>
      <patternFill/>
    </fill>
    <fill>
      <patternFill patternType="lightGray"/>
    </fill>
    <fill>
      <patternFill patternType="solid">
        <fgColor rgb="FF0B2341"/>
        <bgColor rgb="FF0B2341"/>
      </patternFill>
    </fill>
    <fill>
      <patternFill patternType="solid">
        <fgColor rgb="FF15808A"/>
        <bgColor rgb="FF15808A"/>
      </patternFill>
    </fill>
    <fill>
      <patternFill patternType="solid">
        <fgColor rgb="FFEAF6F8"/>
        <bgColor rgb="FFEAF6F8"/>
      </patternFill>
    </fill>
    <fill>
      <patternFill patternType="solid">
        <fgColor rgb="FFF5FAFB"/>
        <bgColor rgb="FFF5FAFB"/>
      </patternFill>
    </fill>
    <fill>
      <patternFill patternType="solid">
        <fgColor rgb="FFFFFFFF"/>
        <bgColor rgb="FFFFFFFF"/>
      </patternFill>
    </fill>
  </fills>
  <borders count="1">
    <border/>
  </borders>
  <cellStyleXfs count="1">
    <xf numFmtId="0" fontId="0" fillId="0" borderId="0"/>
  </cellStyleXfs>
  <cellXfs count="21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3" fillId="4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5" fillId="4" borderId="0" applyAlignment="1" pivotButton="0" quotePrefix="0" xfId="0">
      <alignment horizontal="center" vertical="center"/>
    </xf>
    <xf numFmtId="0" fontId="4" fillId="5" borderId="0" applyAlignment="1" pivotButton="0" quotePrefix="0" xfId="0">
      <alignment horizontal="left" vertical="center" wrapText="1"/>
    </xf>
    <xf numFmtId="0" fontId="6" fillId="2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 wrapText="1"/>
    </xf>
    <xf numFmtId="0" fontId="7" fillId="6" borderId="0" applyAlignment="1" pivotButton="0" quotePrefix="0" xfId="0">
      <alignment vertical="top" wrapText="1"/>
    </xf>
    <xf numFmtId="0" fontId="7" fillId="6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6" fillId="2" borderId="0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/>
    </xf>
    <xf numFmtId="0" fontId="9" fillId="5" borderId="0" pivotButton="0" quotePrefix="0" xfId="0"/>
    <xf numFmtId="0" fontId="10" fillId="5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7" fillId="6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11" fillId="5" borderId="0" applyAlignment="1" pivotButton="0" quotePrefix="0" xfId="0">
      <alignment horizontal="left" vertical="center" wrapText="1"/>
    </xf>
    <xf numFmtId="0" fontId="0" fillId="0" borderId="0" pivotButton="0" quotePrefix="0" xfId="0"/>
  </cellXfs>
  <cellStyles count="1">
    <cellStyle name="Normal" xfId="0" builtinId="0"/>
  </cellStyles>
  <dxfs count="12">
    <dxf>
      <font>
        <b val="1"/>
        <color rgb="FF20623A"/>
      </font>
      <fill>
        <patternFill patternType="solid">
          <fgColor rgb="FFDFF3E4"/>
          <bgColor rgb="FFDFF3E4"/>
        </patternFill>
      </fill>
      <border/>
    </dxf>
    <dxf>
      <font>
        <b val="1"/>
        <color rgb="FF9B1C1C"/>
      </font>
      <fill>
        <patternFill patternType="solid">
          <fgColor rgb="FFFDE2E2"/>
          <bgColor rgb="FFFDE2E2"/>
        </patternFill>
      </fill>
      <border/>
    </dxf>
    <dxf>
      <font>
        <b val="1"/>
        <color rgb="FF7A5200"/>
      </font>
      <fill>
        <patternFill patternType="solid">
          <fgColor rgb="FFFFF1CC"/>
          <bgColor rgb="FFFFF1CC"/>
        </patternFill>
      </fill>
      <border/>
    </dxf>
    <dxf>
      <font/>
      <fill>
        <patternFill/>
      </fill>
      <border/>
    </dxf>
    <dxf>
      <font/>
      <fill>
        <patternFill/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/>
      </fill>
      <border/>
    </dxf>
    <dxf>
      <font>
        <b val="1"/>
        <color rgb="FF15808A"/>
      </font>
      <fill>
        <patternFill patternType="solid">
          <fgColor rgb="FFEAF6F8"/>
          <bgColor rgb="FFEAF6F8"/>
        </patternFill>
      </fill>
      <border/>
    </dxf>
    <dxf>
      <font>
        <b val="1"/>
        <color rgb="FF5741A3"/>
      </font>
      <fill>
        <patternFill patternType="solid">
          <fgColor rgb="FFEAE5FF"/>
          <bgColor rgb="FFEAE5FF"/>
        </patternFill>
      </fill>
      <border/>
    </dxf>
    <dxf>
      <font>
        <b val="1"/>
        <color rgb="FF5C6770"/>
      </font>
      <fill>
        <patternFill patternType="solid">
          <fgColor rgb="FFE7EDF0"/>
          <bgColor rgb="FFE7EDF0"/>
        </patternFill>
      </fill>
      <border/>
    </dxf>
    <dxf>
      <font>
        <b val="1"/>
        <color rgb="FF0B2341"/>
      </font>
      <fill>
        <patternFill patternType="solid">
          <fgColor rgb="FFEAF6F8"/>
          <bgColor rgb="FFEAF6F8"/>
        </patternFill>
      </fill>
      <border/>
    </dxf>
    <dxf>
      <font>
        <b val="1"/>
        <color rgb="FF3A4A5B"/>
      </font>
      <fill>
        <patternFill patternType="solid">
          <fgColor rgb="FFEEF2F6"/>
          <bgColor rgb="FFEEF2F6"/>
        </patternFill>
      </fill>
      <border/>
    </dxf>
  </dxfs>
  <tableStyles count="1" defaultTableStyle="TableStyleMedium9" defaultPivotStyle="PivotStyleLight16">
    <tableStyle name="Project Tracker-style" pivot="0" count="3">
      <tableStyleElement type="headerRow" dxfId="4"/>
      <tableStyleElement type="firstRowStripe" dxfId="5"/>
      <tableStyleElement type="secondRowStripe" dxfId="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ables/table1.xml><?xml version="1.0" encoding="utf-8"?>
<table xmlns="http://schemas.openxmlformats.org/spreadsheetml/2006/main" id="1" name="Table_1" displayName="Table_1" ref="A13:H25" headerRowCount="1">
  <tableColumns count="8">
    <tableColumn id="1" name="Project"/>
    <tableColumn id="2" name="Category"/>
    <tableColumn id="3" name="October Target"/>
    <tableColumn id="4" name="Primary Completion Priority"/>
    <tableColumn id="5" name="Target Week"/>
    <tableColumn id="6" name="Owner"/>
    <tableColumn id="7" name="Status"/>
    <tableColumn id="8" name="Notes / Blockers"/>
  </tableColumns>
  <tableStyleInfo name="Project Tracker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ChatGPT">
  <a:themeElements>
    <a:clrScheme name="ChatGPT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20"/>
  <sheetViews>
    <sheetView workbookViewId="0">
      <selection activeCell="A1" sqref="A1"/>
    </sheetView>
  </sheetViews>
  <sheetFormatPr baseColWidth="8" defaultColWidth="14.43" defaultRowHeight="15" customHeight="1"/>
  <cols>
    <col width="12" customWidth="1" style="20" min="1" max="2"/>
    <col width="24" customWidth="1" style="20" min="3" max="3"/>
    <col width="38" customWidth="1" style="20" min="4" max="5"/>
    <col width="30" customWidth="1" style="20" min="6" max="6"/>
    <col width="10" customWidth="1" style="20" min="7" max="7"/>
    <col width="14" customWidth="1" style="20" min="8" max="8"/>
    <col width="8.710000000000001" customWidth="1" style="20" min="9" max="11"/>
  </cols>
  <sheetData>
    <row r="1" ht="25.5" customHeight="1" s="20">
      <c r="A1" s="1" t="inlineStr">
        <is>
          <t>ZOIKO TECH — OCTOBER 2026 PROJECT &amp; TECHNICAL DELIVERY SCHEDULE</t>
        </is>
      </c>
    </row>
    <row r="2" ht="25.5" customHeight="1" s="20"/>
    <row r="3" ht="21.75" customHeight="1" s="20">
      <c r="A3" s="2" t="inlineStr">
        <is>
          <t>12 Major Technology Delivery Milestones · Finalisation · QA · Deployment · Prototype Validation</t>
        </is>
      </c>
    </row>
    <row r="5" ht="27.75" customHeight="1" s="20">
      <c r="A5" s="3" t="inlineStr">
        <is>
          <t>6</t>
        </is>
      </c>
      <c r="C5" s="3" t="inlineStr">
        <is>
          <t>2</t>
        </is>
      </c>
      <c r="E5" s="3" t="inlineStr">
        <is>
          <t>4</t>
        </is>
      </c>
      <c r="G5" s="3" t="inlineStr">
        <is>
          <t>12</t>
        </is>
      </c>
    </row>
    <row r="6" ht="19.5" customHeight="1" s="20">
      <c r="A6" s="4" t="inlineStr">
        <is>
          <t>Platforms</t>
        </is>
      </c>
      <c r="C6" s="4" t="inlineStr">
        <is>
          <t>Prototype</t>
        </is>
      </c>
      <c r="E6" s="4" t="inlineStr">
        <is>
          <t>Web Applications</t>
        </is>
      </c>
      <c r="G6" s="4" t="inlineStr">
        <is>
          <t>Total</t>
        </is>
      </c>
    </row>
    <row r="7" ht="24" customHeight="1" s="20">
      <c r="A7" s="5" t="inlineStr">
        <is>
          <t>Scheduled for Completion</t>
        </is>
      </c>
      <c r="C7" s="5" t="inlineStr">
        <is>
          <t>Milestones</t>
        </is>
      </c>
      <c r="E7" s="5" t="inlineStr">
        <is>
          <t>Scheduled for Completion</t>
        </is>
      </c>
      <c r="G7" s="5" t="inlineStr">
        <is>
          <t>October Milestones</t>
        </is>
      </c>
    </row>
    <row r="9" ht="27.75" customHeight="1" s="20">
      <c r="A9" s="6" t="inlineStr">
        <is>
          <t xml:space="preserve">OCTOBER OBJECTIVE: Finish, test, approve and deploy the mature ongoing projects already in development </t>
        </is>
      </c>
    </row>
    <row r="10" ht="27.75" customHeight="1" s="20"/>
    <row r="12" ht="24" customHeight="1" s="20">
      <c r="A12" s="7" t="inlineStr">
        <is>
          <t>OCTOBER DELIVERY PLAN</t>
        </is>
      </c>
    </row>
    <row r="13" ht="30" customHeight="1" s="20">
      <c r="A13" s="8" t="inlineStr">
        <is>
          <t>Week</t>
        </is>
      </c>
      <c r="B13" s="8" t="inlineStr">
        <is>
          <t>Dates</t>
        </is>
      </c>
      <c r="C13" s="8" t="inlineStr">
        <is>
          <t>Primary Focus</t>
        </is>
      </c>
      <c r="D13" s="8" t="inlineStr">
        <is>
          <t>Project Team</t>
        </is>
      </c>
      <c r="E13" s="8" t="inlineStr">
        <is>
          <t>Technical Team</t>
        </is>
      </c>
      <c r="F13" s="8" t="inlineStr">
        <is>
          <t>End-of-Week Target</t>
        </is>
      </c>
      <c r="G13" s="8" t="inlineStr">
        <is>
          <t>Gate</t>
        </is>
      </c>
      <c r="H13" s="8" t="inlineStr">
        <is>
          <t>Status</t>
        </is>
      </c>
    </row>
    <row r="14" ht="72" customHeight="1" s="20">
      <c r="A14" s="17" t="inlineStr">
        <is>
          <t>Week 1</t>
        </is>
      </c>
      <c r="B14" s="17" t="inlineStr">
        <is>
          <t>5–9 Oct</t>
        </is>
      </c>
      <c r="C14" s="17" t="inlineStr">
        <is>
          <t>Final development &amp; outstanding items</t>
        </is>
      </c>
      <c r="D14" s="17" t="inlineStr">
        <is>
          <t>Confirm remaining work; prioritise P0/P1 items; maintain completion tracker.</t>
        </is>
      </c>
      <c r="E14" s="17" t="inlineStr">
        <is>
          <t>Complete remaining core functionality; close critical defects; finish integrations; prepare stable QA builds.</t>
        </is>
      </c>
      <c r="F14" s="17" t="inlineStr">
        <is>
          <t>Material development substantially closed.</t>
        </is>
      </c>
      <c r="G14" s="17" t="inlineStr">
        <is>
          <t>Gate 1</t>
        </is>
      </c>
      <c r="H14" s="17" t="inlineStr">
        <is>
          <t>Completed</t>
        </is>
      </c>
    </row>
    <row r="15" ht="72" customHeight="1" s="20">
      <c r="A15" s="18" t="inlineStr">
        <is>
          <t>Week 2</t>
        </is>
      </c>
      <c r="B15" s="18" t="inlineStr">
        <is>
          <t>12–16 Oct</t>
        </is>
      </c>
      <c r="C15" s="18" t="inlineStr">
        <is>
          <t>QA, refinement &amp; integration</t>
        </is>
      </c>
      <c r="D15" s="18" t="inlineStr">
        <is>
          <t>Review against approved scope; coordinate Product, Design, QA and Engineering corrections; escalate risks.</t>
        </is>
      </c>
      <c r="E15" s="18" t="inlineStr">
        <is>
          <t>Run functional/regression, integration, API, security and performance testing; resolve material QA defects.</t>
        </is>
      </c>
      <c r="F15" s="18" t="inlineStr">
        <is>
          <t>Completion-stage platforms and websites in release-candidate condition.</t>
        </is>
      </c>
      <c r="G15" s="18" t="inlineStr">
        <is>
          <t>Gate 2</t>
        </is>
      </c>
      <c r="H15" s="18" t="inlineStr">
        <is>
          <t>Completed</t>
        </is>
      </c>
    </row>
    <row r="16" ht="72" customHeight="1" s="20">
      <c r="A16" s="17" t="inlineStr">
        <is>
          <t>Week 3</t>
        </is>
      </c>
      <c r="B16" s="17" t="inlineStr">
        <is>
          <t>19–23 Oct</t>
        </is>
      </c>
      <c r="C16" s="17" t="inlineStr">
        <is>
          <t>Final acceptance &amp; release readiness</t>
        </is>
      </c>
      <c r="D16" s="17" t="inlineStr">
        <is>
          <t>Conduct UAT/final reviews; confirm business, design and content approval; review both prototypes.</t>
        </is>
      </c>
      <c r="E16" s="17" t="inlineStr">
        <is>
          <t>Final regression, security and deployment checks; resolve launch blockers; prepare release builds.</t>
        </is>
      </c>
      <c r="F16" s="17" t="inlineStr">
        <is>
          <t>Production-target projects ready for deployment; prototypes ready for validation.</t>
        </is>
      </c>
      <c r="G16" s="17" t="inlineStr">
        <is>
          <t>Gate 3</t>
        </is>
      </c>
      <c r="H16" s="17" t="inlineStr">
        <is>
          <t>In Progress</t>
        </is>
      </c>
    </row>
    <row r="17" ht="72" customHeight="1" s="20">
      <c r="A17" s="18" t="inlineStr">
        <is>
          <t>Week 4</t>
        </is>
      </c>
      <c r="B17" s="18" t="inlineStr">
        <is>
          <t>26–30 Oct</t>
        </is>
      </c>
      <c r="C17" s="18" t="inlineStr">
        <is>
          <t>Completion, deployment &amp; sign-off</t>
        </is>
      </c>
      <c r="D17" s="18" t="inlineStr">
        <is>
          <t>Final Go/No-Go; approve public web applications; record completed/conditional/deferred items; issue close-out.</t>
        </is>
      </c>
      <c r="E17" s="18" t="inlineStr">
        <is>
          <t>Deploy approved releases; production smoke tests; monitor stability; finalise prototype demonstrations.</t>
        </is>
      </c>
      <c r="F17" s="18" t="inlineStr">
        <is>
          <t>12 October milestones formally concluded.</t>
        </is>
      </c>
      <c r="G17" s="18" t="inlineStr">
        <is>
          <t>Gate 4</t>
        </is>
      </c>
      <c r="H17" s="18" t="inlineStr">
        <is>
          <t>Planned</t>
        </is>
      </c>
    </row>
    <row r="19" ht="25.5" customHeight="1" s="20">
      <c r="A19" s="12" t="inlineStr">
        <is>
          <t>MANAGEMENT RULE: No unnecessary new scope during October. Priority = finish → test → approve → deploy.</t>
        </is>
      </c>
    </row>
    <row r="20" ht="25.5" customHeight="1" s="20"/>
    <row r="21" ht="15.75" customHeight="1" s="20"/>
    <row r="22" ht="15.75" customHeight="1" s="20"/>
    <row r="23" ht="15.75" customHeight="1" s="20"/>
    <row r="24" ht="15.75" customHeight="1" s="20"/>
    <row r="25" ht="15.75" customHeight="1" s="20"/>
    <row r="26" ht="15.75" customHeight="1" s="20"/>
    <row r="27" ht="15.75" customHeight="1" s="20"/>
    <row r="28" ht="15.75" customHeight="1" s="20"/>
    <row r="29" ht="15.75" customHeight="1" s="20"/>
    <row r="30" ht="15.75" customHeight="1" s="20"/>
    <row r="31" ht="15.75" customHeight="1" s="20"/>
    <row r="32" ht="15.75" customHeight="1" s="20"/>
    <row r="33" ht="15.75" customHeight="1" s="20"/>
    <row r="34" ht="15.75" customHeight="1" s="20"/>
    <row r="35" ht="15.75" customHeight="1" s="20"/>
    <row r="36" ht="15.75" customHeight="1" s="20"/>
    <row r="37" ht="15.75" customHeight="1" s="20"/>
    <row r="38" ht="15.75" customHeight="1" s="20"/>
    <row r="39" ht="15.75" customHeight="1" s="20"/>
    <row r="40" ht="15.75" customHeight="1" s="20"/>
    <row r="41" ht="15.75" customHeight="1" s="20"/>
    <row r="42" ht="15.75" customHeight="1" s="20"/>
    <row r="43" ht="15.75" customHeight="1" s="20"/>
    <row r="44" ht="15.75" customHeight="1" s="20"/>
    <row r="45" ht="15.75" customHeight="1" s="20"/>
    <row r="46" ht="15.75" customHeight="1" s="20"/>
    <row r="47" ht="15.75" customHeight="1" s="20"/>
    <row r="48" ht="15.75" customHeight="1" s="20"/>
    <row r="49" ht="15.75" customHeight="1" s="20"/>
    <row r="50" ht="15.75" customHeight="1" s="20"/>
    <row r="51" ht="15.75" customHeight="1" s="20"/>
    <row r="52" ht="15.75" customHeight="1" s="20"/>
    <row r="53" ht="15.75" customHeight="1" s="20"/>
    <row r="54" ht="15.75" customHeight="1" s="20"/>
    <row r="55" ht="15.75" customHeight="1" s="20"/>
    <row r="56" ht="15.75" customHeight="1" s="20"/>
    <row r="57" ht="15.75" customHeight="1" s="20"/>
    <row r="58" ht="15.75" customHeight="1" s="20"/>
    <row r="59" ht="15.75" customHeight="1" s="20"/>
    <row r="60" ht="15.75" customHeight="1" s="20"/>
    <row r="61" ht="15.75" customHeight="1" s="20"/>
    <row r="62" ht="15.75" customHeight="1" s="20"/>
    <row r="63" ht="15.75" customHeight="1" s="20"/>
    <row r="64" ht="15.75" customHeight="1" s="20"/>
    <row r="65" ht="15.75" customHeight="1" s="20"/>
    <row r="66" ht="15.75" customHeight="1" s="20"/>
    <row r="67" ht="15.75" customHeight="1" s="20"/>
    <row r="68" ht="15.75" customHeight="1" s="20"/>
    <row r="69" ht="15.75" customHeight="1" s="20"/>
    <row r="70" ht="15.75" customHeight="1" s="20"/>
    <row r="71" ht="15.75" customHeight="1" s="20"/>
    <row r="72" ht="15.75" customHeight="1" s="20"/>
    <row r="73" ht="15.75" customHeight="1" s="20"/>
    <row r="74" ht="15.75" customHeight="1" s="20"/>
    <row r="75" ht="15.75" customHeight="1" s="20"/>
    <row r="76" ht="15.75" customHeight="1" s="20"/>
    <row r="77" ht="15.75" customHeight="1" s="20"/>
    <row r="78" ht="15.75" customHeight="1" s="20"/>
    <row r="79" ht="15.75" customHeight="1" s="20"/>
    <row r="80" ht="15.75" customHeight="1" s="20"/>
    <row r="81" ht="15.75" customHeight="1" s="20"/>
    <row r="82" ht="15.75" customHeight="1" s="20"/>
    <row r="83" ht="15.75" customHeight="1" s="20"/>
    <row r="84" ht="15.75" customHeight="1" s="20"/>
    <row r="85" ht="15.75" customHeight="1" s="20"/>
    <row r="86" ht="15.75" customHeight="1" s="20"/>
    <row r="87" ht="15.75" customHeight="1" s="20"/>
    <row r="88" ht="15.75" customHeight="1" s="20"/>
    <row r="89" ht="15.75" customHeight="1" s="20"/>
    <row r="90" ht="15.75" customHeight="1" s="20"/>
    <row r="91" ht="15.75" customHeight="1" s="20"/>
    <row r="92" ht="15.75" customHeight="1" s="20"/>
    <row r="93" ht="15.75" customHeight="1" s="20"/>
    <row r="94" ht="15.75" customHeight="1" s="20"/>
    <row r="95" ht="15.75" customHeight="1" s="20"/>
    <row r="96" ht="15.75" customHeight="1" s="20"/>
    <row r="97" ht="15.75" customHeight="1" s="20"/>
    <row r="98" ht="15.75" customHeight="1" s="20"/>
    <row r="99" ht="15.75" customHeight="1" s="20"/>
    <row r="100" ht="15.75" customHeight="1" s="20"/>
  </sheetData>
  <mergeCells count="17">
    <mergeCell ref="A12:H12"/>
    <mergeCell ref="A3:H3"/>
    <mergeCell ref="E6:F6"/>
    <mergeCell ref="C6:D6"/>
    <mergeCell ref="A9:H10"/>
    <mergeCell ref="A7:B7"/>
    <mergeCell ref="G7:H7"/>
    <mergeCell ref="E7:F7"/>
    <mergeCell ref="C7:D7"/>
    <mergeCell ref="C5:D5"/>
    <mergeCell ref="A5:B5"/>
    <mergeCell ref="G5:H5"/>
    <mergeCell ref="E5:F5"/>
    <mergeCell ref="G6:H6"/>
    <mergeCell ref="A19:H20"/>
    <mergeCell ref="A1:H2"/>
    <mergeCell ref="A6:B6"/>
  </mergeCells>
  <conditionalFormatting sqref="H14:H17">
    <cfRule type="expression" priority="1" dxfId="0">
      <formula>H14="Completed"</formula>
    </cfRule>
    <cfRule type="expression" priority="2" dxfId="1">
      <formula>H14="At Risk"</formula>
    </cfRule>
    <cfRule type="expression" priority="3" dxfId="2">
      <formula>H14="In Progress"</formula>
    </cfRule>
  </conditionalFormatting>
  <dataValidations count="1">
    <dataValidation sqref="H14:H17" showDropDown="0" showInputMessage="0" showErrorMessage="0" allowBlank="1" type="list">
      <formula1>"Planned,In Progress,At Risk,Completed,Deferred"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H28"/>
  <sheetViews>
    <sheetView workbookViewId="0">
      <selection activeCell="A1" sqref="A1"/>
    </sheetView>
  </sheetViews>
  <sheetFormatPr baseColWidth="8" defaultColWidth="14.43" defaultRowHeight="15" customHeight="1"/>
  <cols>
    <col width="18" customWidth="1" style="20" min="1" max="1"/>
    <col width="17" customWidth="1" style="20" min="2" max="2"/>
    <col width="18" customWidth="1" style="20" min="3" max="3"/>
    <col width="46" customWidth="1" style="20" min="4" max="4"/>
    <col width="13" customWidth="1" style="20" min="5" max="5"/>
    <col width="20" customWidth="1" style="20" min="6" max="6"/>
    <col width="14" customWidth="1" style="20" min="7" max="7"/>
    <col width="34" customWidth="1" style="20" min="8" max="8"/>
    <col width="8.710000000000001" customWidth="1" style="20" min="9" max="11"/>
  </cols>
  <sheetData>
    <row r="1">
      <c r="A1" s="1" t="inlineStr">
        <is>
          <t>ZOIKO TECH — OCTOBER 2026 PROJECT TRACKER</t>
        </is>
      </c>
    </row>
    <row r="2"/>
    <row r="3">
      <c r="A3" s="2" t="inlineStr">
        <is>
          <t>Operational tracker for the 12 October delivery milestones</t>
        </is>
      </c>
    </row>
    <row r="5">
      <c r="A5" s="13" t="inlineStr">
        <is>
          <t>Metric</t>
        </is>
      </c>
      <c r="B5" s="13" t="inlineStr">
        <is>
          <t>Value</t>
        </is>
      </c>
    </row>
    <row r="6">
      <c r="A6" s="14" t="inlineStr">
        <is>
          <t>Total Milestones</t>
        </is>
      </c>
      <c r="B6" s="15">
        <f>COUNTA(A14:A25)</f>
        <v/>
      </c>
    </row>
    <row r="7">
      <c r="A7" s="14" t="inlineStr">
        <is>
          <t>Completed</t>
        </is>
      </c>
      <c r="B7" s="15">
        <f>COUNTIF(G14:G25,"Completed")</f>
        <v/>
      </c>
    </row>
    <row r="8">
      <c r="A8" s="14" t="inlineStr">
        <is>
          <t>In Progress</t>
        </is>
      </c>
      <c r="B8" s="15">
        <f>COUNTIF(G14:G25,"In Progress")</f>
        <v/>
      </c>
    </row>
    <row r="9">
      <c r="A9" s="14" t="inlineStr">
        <is>
          <t>At Risk</t>
        </is>
      </c>
      <c r="B9" s="15">
        <f>COUNTIF(G14:G25,"At Risk")</f>
        <v/>
      </c>
    </row>
    <row r="10">
      <c r="A10" s="14" t="inlineStr">
        <is>
          <t>Deferred</t>
        </is>
      </c>
      <c r="B10" s="15">
        <f>COUNTIF(G14:G25,"Deferred")</f>
        <v/>
      </c>
    </row>
    <row r="13" ht="31.5" customHeight="1" s="20">
      <c r="A13" s="16" t="inlineStr">
        <is>
          <t>Project</t>
        </is>
      </c>
      <c r="B13" s="16" t="inlineStr">
        <is>
          <t>Category</t>
        </is>
      </c>
      <c r="C13" s="16" t="inlineStr">
        <is>
          <t>October Target</t>
        </is>
      </c>
      <c r="D13" s="16" t="inlineStr">
        <is>
          <t>Primary Completion Priority</t>
        </is>
      </c>
      <c r="E13" s="16" t="inlineStr">
        <is>
          <t>Target Week</t>
        </is>
      </c>
      <c r="F13" s="16" t="inlineStr">
        <is>
          <t>Owner</t>
        </is>
      </c>
      <c r="G13" s="16" t="inlineStr">
        <is>
          <t>Status</t>
        </is>
      </c>
      <c r="H13" s="16" t="inlineStr">
        <is>
          <t>Notes / Blockers</t>
        </is>
      </c>
    </row>
    <row r="14" ht="43.5" customHeight="1" s="20">
      <c r="A14" s="17" t="inlineStr">
        <is>
          <t>Zoiko Tax</t>
        </is>
      </c>
      <c r="B14" s="17" t="inlineStr">
        <is>
          <t>Platform</t>
        </is>
      </c>
      <c r="C14" s="17" t="inlineStr">
        <is>
          <t>Completion</t>
        </is>
      </c>
      <c r="D14" s="17" t="inlineStr">
        <is>
          <t>Finalise global telecoms tax, compliance and regulatory functionality</t>
        </is>
      </c>
      <c r="E14" s="17" t="inlineStr">
        <is>
          <t>Week 4</t>
        </is>
      </c>
      <c r="F14" s="17" t="n"/>
      <c r="G14" s="17" t="inlineStr">
        <is>
          <t>In Progress</t>
        </is>
      </c>
      <c r="H14" s="17" t="n"/>
    </row>
    <row r="15" ht="43.5" customHeight="1" s="20">
      <c r="A15" s="18" t="inlineStr">
        <is>
          <t>Zoiko Shield</t>
        </is>
      </c>
      <c r="B15" s="18" t="inlineStr">
        <is>
          <t>Platform</t>
        </is>
      </c>
      <c r="C15" s="18" t="inlineStr">
        <is>
          <t>Completion</t>
        </is>
      </c>
      <c r="D15" s="18" t="inlineStr">
        <is>
          <t>Complete cybersecurity controls, testing and production hardening</t>
        </is>
      </c>
      <c r="E15" s="18" t="inlineStr">
        <is>
          <t>Week 4</t>
        </is>
      </c>
      <c r="F15" s="18" t="n"/>
      <c r="G15" s="18" t="inlineStr">
        <is>
          <t>In Progress</t>
        </is>
      </c>
      <c r="H15" s="18" t="n"/>
    </row>
    <row r="16" ht="43.5" customHeight="1" s="20">
      <c r="A16" s="17" t="inlineStr">
        <is>
          <t>Zoiko Mail</t>
        </is>
      </c>
      <c r="B16" s="17" t="inlineStr">
        <is>
          <t>Platform</t>
        </is>
      </c>
      <c r="C16" s="17" t="inlineStr">
        <is>
          <t>Completion</t>
        </is>
      </c>
      <c r="D16" s="17" t="inlineStr">
        <is>
          <t>Finalise secure business email, administration and deliverability</t>
        </is>
      </c>
      <c r="E16" s="17" t="inlineStr">
        <is>
          <t>Week 4</t>
        </is>
      </c>
      <c r="F16" s="17" t="n"/>
      <c r="G16" s="17" t="inlineStr">
        <is>
          <t>In Progress</t>
        </is>
      </c>
      <c r="H16" s="17" t="n"/>
    </row>
    <row r="17" ht="43.5" customHeight="1" s="20">
      <c r="A17" s="18" t="inlineStr">
        <is>
          <t>Zoiko Logia</t>
        </is>
      </c>
      <c r="B17" s="18" t="inlineStr">
        <is>
          <t>Platform</t>
        </is>
      </c>
      <c r="C17" s="18" t="inlineStr">
        <is>
          <t>Completion</t>
        </is>
      </c>
      <c r="D17" s="18" t="inlineStr">
        <is>
          <t>Complete specialist LLM capability, professional intelligence and governance controls</t>
        </is>
      </c>
      <c r="E17" s="18" t="inlineStr">
        <is>
          <t>Week 4</t>
        </is>
      </c>
      <c r="F17" s="18" t="n"/>
      <c r="G17" s="18" t="inlineStr">
        <is>
          <t>In Progress</t>
        </is>
      </c>
      <c r="H17" s="18" t="n"/>
    </row>
    <row r="18" ht="43.5" customHeight="1" s="20">
      <c r="A18" s="17" t="inlineStr">
        <is>
          <t>ZoikoSuite</t>
        </is>
      </c>
      <c r="B18" s="17" t="inlineStr">
        <is>
          <t>Platform</t>
        </is>
      </c>
      <c r="C18" s="17" t="inlineStr">
        <is>
          <t>Completion</t>
        </is>
      </c>
      <c r="D18" s="17" t="inlineStr">
        <is>
          <t>Finalise integrated business software and commercial law services</t>
        </is>
      </c>
      <c r="E18" s="17" t="inlineStr">
        <is>
          <t>Week 4</t>
        </is>
      </c>
      <c r="F18" s="17" t="n"/>
      <c r="G18" s="17" t="inlineStr">
        <is>
          <t>In Progress</t>
        </is>
      </c>
      <c r="H18" s="17" t="n"/>
    </row>
    <row r="19" ht="43.5" customHeight="1" s="20">
      <c r="A19" s="18" t="inlineStr">
        <is>
          <t>Talvrin</t>
        </is>
      </c>
      <c r="B19" s="18" t="inlineStr">
        <is>
          <t>Platform</t>
        </is>
      </c>
      <c r="C19" s="18" t="inlineStr">
        <is>
          <t>Completion</t>
        </is>
      </c>
      <c r="D19" s="18" t="inlineStr">
        <is>
          <t>Complete financial-markets intelligence, evidence and research capabilities</t>
        </is>
      </c>
      <c r="E19" s="18" t="inlineStr">
        <is>
          <t>Week 4</t>
        </is>
      </c>
      <c r="F19" s="18" t="n"/>
      <c r="G19" s="18" t="inlineStr">
        <is>
          <t>At Risk</t>
        </is>
      </c>
      <c r="H19" s="18" t="inlineStr">
        <is>
          <t>Production deploy blocked since 15 Oct: GitHub Actions deploy workflow fails at the SSH handshake (GCP_SSH_KEY secret / server authorized_keys mismatch) before any deploy step runs - needs GCP console/server access to fix, not resolvable from this machine. main is now 2 merges behind what's live in production. This also blocks a separate known fix (CONTENT_MASTER_KEY/KMS_KEY_NAME missing in production env, causing /chats and /projects to 500 for signed-in users) since that fix also requires server access. Research-chatbot routing/evidence findings (14 total across two rounds of live query testing) are now fully fixed - 0 open. FIN-O3 (FIN-001 §26) methodology sign-off for duration/DV01/convexity still open. Tradeweb/ICE Evaluated Pricing outreach sent 5 Oct, no commercial terms yet - Tradeweb's 8 Oct call deferred commercial discussion until the platform is more fully built.</t>
        </is>
      </c>
    </row>
    <row r="20" ht="43.5" customHeight="1" s="20">
      <c r="A20" s="17" t="inlineStr">
        <is>
          <t>Zoiko Rides</t>
        </is>
      </c>
      <c r="B20" s="17" t="inlineStr">
        <is>
          <t>Prototype</t>
        </is>
      </c>
      <c r="C20" s="17" t="inlineStr">
        <is>
          <t>Prototype milestone</t>
        </is>
      </c>
      <c r="D20" s="17" t="inlineStr">
        <is>
          <t>Deliver working ride-hailing and mobility prototype</t>
        </is>
      </c>
      <c r="E20" s="17" t="inlineStr">
        <is>
          <t>Week 4</t>
        </is>
      </c>
      <c r="F20" s="17" t="n"/>
      <c r="G20" s="17" t="inlineStr">
        <is>
          <t>In Progress</t>
        </is>
      </c>
      <c r="H20" s="17" t="n"/>
    </row>
    <row r="21" ht="43.5" customHeight="1" s="20">
      <c r="A21" s="18" t="inlineStr">
        <is>
          <t>Zoikorum</t>
        </is>
      </c>
      <c r="B21" s="18" t="inlineStr">
        <is>
          <t>Prototype</t>
        </is>
      </c>
      <c r="C21" s="18" t="inlineStr">
        <is>
          <t>Prototype milestone</t>
        </is>
      </c>
      <c r="D21" s="18" t="inlineStr">
        <is>
          <t>Deliver working governed professional-services prototype</t>
        </is>
      </c>
      <c r="E21" s="18" t="inlineStr">
        <is>
          <t>Week 4</t>
        </is>
      </c>
      <c r="F21" s="18" t="n"/>
      <c r="G21" s="18" t="inlineStr">
        <is>
          <t>In Progress</t>
        </is>
      </c>
      <c r="H21" s="18" t="n"/>
    </row>
    <row r="22" ht="43.5" customHeight="1" s="20">
      <c r="A22" s="17" t="inlineStr">
        <is>
          <t>Zoiko Tech</t>
        </is>
      </c>
      <c r="B22" s="17" t="inlineStr">
        <is>
          <t>Web Application</t>
        </is>
      </c>
      <c r="C22" s="17" t="inlineStr">
        <is>
          <t>Completion</t>
        </is>
      </c>
      <c r="D22" s="17" t="inlineStr">
        <is>
          <t>Complete upgraded global corporate web application</t>
        </is>
      </c>
      <c r="E22" s="17" t="inlineStr">
        <is>
          <t>Week 4</t>
        </is>
      </c>
      <c r="F22" s="17" t="n"/>
      <c r="G22" s="17" t="inlineStr">
        <is>
          <t>In Progress</t>
        </is>
      </c>
      <c r="H22" s="17" t="n"/>
    </row>
    <row r="23" ht="43.5" customHeight="1" s="20">
      <c r="A23" s="18" t="inlineStr">
        <is>
          <t>Zoiko Markets</t>
        </is>
      </c>
      <c r="B23" s="18" t="inlineStr">
        <is>
          <t>Web Application</t>
        </is>
      </c>
      <c r="C23" s="18" t="inlineStr">
        <is>
          <t>Completion</t>
        </is>
      </c>
      <c r="D23" s="18" t="inlineStr">
        <is>
          <t>Complete financial-markets web application</t>
        </is>
      </c>
      <c r="E23" s="18" t="inlineStr">
        <is>
          <t>Week 4</t>
        </is>
      </c>
      <c r="F23" s="18" t="n"/>
      <c r="G23" s="18" t="inlineStr">
        <is>
          <t>In Progress</t>
        </is>
      </c>
      <c r="H23" s="18" t="n"/>
    </row>
    <row r="24" ht="43.5" customHeight="1" s="20">
      <c r="A24" s="17" t="inlineStr">
        <is>
          <t>Zoiko Mobility</t>
        </is>
      </c>
      <c r="B24" s="17" t="inlineStr">
        <is>
          <t>Web Application</t>
        </is>
      </c>
      <c r="C24" s="17" t="inlineStr">
        <is>
          <t>Completion</t>
        </is>
      </c>
      <c r="D24" s="17" t="inlineStr">
        <is>
          <t>Complete mobility and transportation web application</t>
        </is>
      </c>
      <c r="E24" s="17" t="inlineStr">
        <is>
          <t>Week 4</t>
        </is>
      </c>
      <c r="F24" s="17" t="n"/>
      <c r="G24" s="17" t="inlineStr">
        <is>
          <t>In Progress</t>
        </is>
      </c>
      <c r="H24" s="17" t="n"/>
    </row>
    <row r="25" ht="43.5" customHeight="1" s="20">
      <c r="A25" s="18" t="inlineStr">
        <is>
          <t>Zoiko Digital</t>
        </is>
      </c>
      <c r="B25" s="18" t="inlineStr">
        <is>
          <t>Web Application</t>
        </is>
      </c>
      <c r="C25" s="18" t="inlineStr">
        <is>
          <t>Completion</t>
        </is>
      </c>
      <c r="D25" s="18" t="inlineStr">
        <is>
          <t>Complete digital-transformation and technology-services web application</t>
        </is>
      </c>
      <c r="E25" s="18" t="inlineStr">
        <is>
          <t>Week 4</t>
        </is>
      </c>
      <c r="F25" s="18" t="n"/>
      <c r="G25" s="18" t="inlineStr">
        <is>
          <t>In Progress</t>
        </is>
      </c>
      <c r="H25" s="18" t="n"/>
    </row>
    <row r="26" ht="15.75" customHeight="1" s="20"/>
    <row r="27" ht="15.75" customHeight="1" s="20">
      <c r="A27" s="19" t="inlineStr">
        <is>
          <t>Completion principle: these are mature ongoing projects. October is focused on closing outstanding work, QA, final approval, deployment and prototype validation.</t>
        </is>
      </c>
    </row>
    <row r="28" ht="15.75" customHeight="1" s="20"/>
    <row r="29" ht="15.75" customHeight="1" s="20"/>
    <row r="30" ht="15.75" customHeight="1" s="20"/>
    <row r="31" ht="15.75" customHeight="1" s="20"/>
    <row r="32" ht="15.75" customHeight="1" s="20"/>
    <row r="33" ht="15.75" customHeight="1" s="20"/>
    <row r="34" ht="15.75" customHeight="1" s="20"/>
    <row r="35" ht="15.75" customHeight="1" s="20"/>
    <row r="36" ht="15.75" customHeight="1" s="20"/>
    <row r="37" ht="15.75" customHeight="1" s="20"/>
    <row r="38" ht="15.75" customHeight="1" s="20"/>
    <row r="39" ht="15.75" customHeight="1" s="20"/>
    <row r="40" ht="15.75" customHeight="1" s="20"/>
    <row r="41" ht="15.75" customHeight="1" s="20"/>
    <row r="42" ht="15.75" customHeight="1" s="20"/>
    <row r="43" ht="15.75" customHeight="1" s="20"/>
    <row r="44" ht="15.75" customHeight="1" s="20"/>
    <row r="45" ht="15.75" customHeight="1" s="20"/>
    <row r="46" ht="15.75" customHeight="1" s="20"/>
    <row r="47" ht="15.75" customHeight="1" s="20"/>
    <row r="48" ht="15.75" customHeight="1" s="20"/>
    <row r="49" ht="15.75" customHeight="1" s="20"/>
    <row r="50" ht="15.75" customHeight="1" s="20"/>
    <row r="51" ht="15.75" customHeight="1" s="20"/>
    <row r="52" ht="15.75" customHeight="1" s="20"/>
    <row r="53" ht="15.75" customHeight="1" s="20"/>
    <row r="54" ht="15.75" customHeight="1" s="20"/>
    <row r="55" ht="15.75" customHeight="1" s="20"/>
    <row r="56" ht="15.75" customHeight="1" s="20"/>
    <row r="57" ht="15.75" customHeight="1" s="20"/>
    <row r="58" ht="15.75" customHeight="1" s="20"/>
    <row r="59" ht="15.75" customHeight="1" s="20"/>
    <row r="60" ht="15.75" customHeight="1" s="20"/>
    <row r="61" ht="15.75" customHeight="1" s="20"/>
    <row r="62" ht="15.75" customHeight="1" s="20"/>
    <row r="63" ht="15.75" customHeight="1" s="20"/>
    <row r="64" ht="15.75" customHeight="1" s="20"/>
    <row r="65" ht="15.75" customHeight="1" s="20"/>
    <row r="66" ht="15.75" customHeight="1" s="20"/>
    <row r="67" ht="15.75" customHeight="1" s="20"/>
    <row r="68" ht="15.75" customHeight="1" s="20"/>
    <row r="69" ht="15.75" customHeight="1" s="20"/>
    <row r="70" ht="15.75" customHeight="1" s="20"/>
    <row r="71" ht="15.75" customHeight="1" s="20"/>
    <row r="72" ht="15.75" customHeight="1" s="20"/>
    <row r="73" ht="15.75" customHeight="1" s="20"/>
    <row r="74" ht="15.75" customHeight="1" s="20"/>
    <row r="75" ht="15.75" customHeight="1" s="20"/>
    <row r="76" ht="15.75" customHeight="1" s="20"/>
    <row r="77" ht="15.75" customHeight="1" s="20"/>
    <row r="78" ht="15.75" customHeight="1" s="20"/>
    <row r="79" ht="15.75" customHeight="1" s="20"/>
    <row r="80" ht="15.75" customHeight="1" s="20"/>
    <row r="81" ht="15.75" customHeight="1" s="20"/>
    <row r="82" ht="15.75" customHeight="1" s="20"/>
    <row r="83" ht="15.75" customHeight="1" s="20"/>
    <row r="84" ht="15.75" customHeight="1" s="20"/>
    <row r="85" ht="15.75" customHeight="1" s="20"/>
    <row r="86" ht="15.75" customHeight="1" s="20"/>
    <row r="87" ht="15.75" customHeight="1" s="20"/>
    <row r="88" ht="15.75" customHeight="1" s="20"/>
    <row r="89" ht="15.75" customHeight="1" s="20"/>
    <row r="90" ht="15.75" customHeight="1" s="20"/>
    <row r="91" ht="15.75" customHeight="1" s="20"/>
    <row r="92" ht="15.75" customHeight="1" s="20"/>
    <row r="93" ht="15.75" customHeight="1" s="20"/>
    <row r="94" ht="15.75" customHeight="1" s="20"/>
    <row r="95" ht="15.75" customHeight="1" s="20"/>
    <row r="96" ht="15.75" customHeight="1" s="20"/>
    <row r="97" ht="15.75" customHeight="1" s="20"/>
    <row r="98" ht="15.75" customHeight="1" s="20"/>
    <row r="99" ht="15.75" customHeight="1" s="20"/>
    <row r="100" ht="15.75" customHeight="1" s="20"/>
  </sheetData>
  <mergeCells count="3">
    <mergeCell ref="A1:H2"/>
    <mergeCell ref="A3:H3"/>
    <mergeCell ref="A27:H28"/>
  </mergeCells>
  <conditionalFormatting sqref="G14:G25">
    <cfRule type="expression" priority="1" dxfId="0">
      <formula>G14="Completed"</formula>
    </cfRule>
    <cfRule type="expression" priority="2" dxfId="1">
      <formula>G14="At Risk"</formula>
    </cfRule>
    <cfRule type="expression" priority="3" dxfId="2">
      <formula>G14="In Progress"</formula>
    </cfRule>
    <cfRule type="expression" priority="4" dxfId="7">
      <formula>G14="Ready"</formula>
    </cfRule>
    <cfRule type="expression" priority="5" dxfId="8">
      <formula>G14="QA/Review"</formula>
    </cfRule>
    <cfRule type="expression" priority="6" dxfId="9">
      <formula>G14="Deferred"</formula>
    </cfRule>
  </conditionalFormatting>
  <conditionalFormatting sqref="B14:B25">
    <cfRule type="expression" priority="7" dxfId="10">
      <formula>B14="Platform"</formula>
    </cfRule>
    <cfRule type="expression" priority="8" dxfId="2">
      <formula>B14="Prototype"</formula>
    </cfRule>
    <cfRule type="expression" priority="9" dxfId="11">
      <formula>B14="Web Application"</formula>
    </cfRule>
  </conditionalFormatting>
  <dataValidations count="2">
    <dataValidation sqref="G14:G25" showDropDown="0" showInputMessage="0" showErrorMessage="0" allowBlank="1" type="list">
      <formula1>"In Progress,QA/Review,Ready,Completed,At Risk,Deferred"</formula1>
    </dataValidation>
    <dataValidation sqref="E14:E25" showDropDown="0" showInputMessage="0" showErrorMessage="0" allowBlank="1" type="list">
      <formula1>"Week 1,Week 2,Week 3,Week 4"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2026-10-05T07:47:34Z</dcterms:created>
  <dcterms:modified xmlns:dcterms="http://purl.org/dc/terms/" xmlns:xsi="http://www.w3.org/2001/XMLSchema-instance" xsi:type="dcterms:W3CDTF">2026-10-21T10:43:59Z</dcterms:modified>
</cp:coreProperties>
</file>